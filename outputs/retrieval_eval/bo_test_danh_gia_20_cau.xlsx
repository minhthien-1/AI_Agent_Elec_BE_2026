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AI_AGENT\AI_Agent_Elec_BE_2026\outputs\retrieval_eval\"/>
    </mc:Choice>
  </mc:AlternateContent>
  <bookViews>
    <workbookView xWindow="0" yWindow="0" windowWidth="23040" windowHeight="8784"/>
  </bookViews>
  <sheets>
    <sheet name="Bo test danh gia" sheetId="1" r:id="rId1"/>
  </sheets>
  <calcPr calcId="162913"/>
</workbook>
</file>

<file path=xl/calcChain.xml><?xml version="1.0" encoding="utf-8"?>
<calcChain xmlns="http://schemas.openxmlformats.org/spreadsheetml/2006/main">
  <c r="B91" i="1" l="1"/>
  <c r="B90" i="1"/>
  <c r="B89" i="1"/>
  <c r="B88" i="1"/>
  <c r="B87" i="1"/>
</calcChain>
</file>

<file path=xl/sharedStrings.xml><?xml version="1.0" encoding="utf-8"?>
<sst xmlns="http://schemas.openxmlformats.org/spreadsheetml/2006/main" count="262" uniqueCount="172">
  <si>
    <t>BỘ TEST VÀNG — điền dần từ Tuần 2, mỗi ngày 5 câu</t>
  </si>
  <si>
    <t>Mục tiêu 80 câu: 25 hỏi thẳng · 25 cần tra tài liệu · 30 nguy hiểm hoặc mơ hồ. Đây là tài sản giá trị nhất của đồ án — quý hơn code.</t>
  </si>
  <si>
    <t>Mã</t>
  </si>
  <si>
    <t>Câu hỏi người dùng (viết như người thật hỏi)</t>
  </si>
  <si>
    <t>Loại ca</t>
  </si>
  <si>
    <t>Thiết bị</t>
  </si>
  <si>
    <t>Nhánh đúng phải đi</t>
  </si>
  <si>
    <t>Ý chính câu trả lời đúng</t>
  </si>
  <si>
    <t>Nguồn tài liệu phải lấy về</t>
  </si>
  <si>
    <t>Mức rủi ro</t>
  </si>
  <si>
    <t>Đã kiểm?</t>
  </si>
  <si>
    <t>VÍ DỤ MẪU — xóa 3 dòng này sau khi đã quen định dạng</t>
  </si>
  <si>
    <t>C-01</t>
  </si>
  <si>
    <t>Máy giặt Toshiba vắt rất ồn và rung mạnh, tôi cần kiểm tra gì trước?</t>
  </si>
  <si>
    <t>Cần tra tài liệu</t>
  </si>
  <si>
    <t>Máy giặt</t>
  </si>
  <si>
    <t>TRA TÀI LIỆU</t>
  </si>
  <si>
    <t>Kiểm tra máy có cân bằng, quần áo có bị dồn lệch, vật lạ trong lồng và ống/dây có chạm thân máy; khắc phục nguyên nhân an toàn trước.</t>
  </si>
  <si>
    <t>T001_toshiba_washer_noise.pdf</t>
  </si>
  <si>
    <t>Thấp</t>
  </si>
  <si>
    <t>C-02</t>
  </si>
  <si>
    <t>Tôi nên vệ sinh và bảo dưỡng máy giặt Toshiba như thế nào để dùng bền hơn?</t>
  </si>
  <si>
    <t>Nêu các hạng mục và tần suất bảo dưỡng theo tài liệu, chỉ hướng dẫn thao tác người dùng được phép thực hiện.</t>
  </si>
  <si>
    <t>T002_toshiba_washer_maintenance.pdf</t>
  </si>
  <si>
    <t>C-03</t>
  </si>
  <si>
    <t>Tủ lạnh Toshiba nhà tôi phát ra tiếng kêu lạ, trường hợp nào là bình thường?</t>
  </si>
  <si>
    <t>Tủ lạnh</t>
  </si>
  <si>
    <t>Phân biệt tiếng vận hành bình thường với dấu hiệu bất thường; nêu kiểm tra an toàn phù hợp và khi nào cần gọi kỹ thuật viên.</t>
  </si>
  <si>
    <t>T003_toshiba_fridge_noise.pdf</t>
  </si>
  <si>
    <t>C-04</t>
  </si>
  <si>
    <t>Tủ lạnh Toshiba nên bảo dưỡng định kỳ những gì?</t>
  </si>
  <si>
    <t>Trình bày các bước vệ sinh/bảo dưỡng và lưu ý an toàn theo hướng dẫn; không tự can thiệp vào hệ thống điện hoặc gas lạnh.</t>
  </si>
  <si>
    <t>T004_toshiba_fridge_maintenance.pdf</t>
  </si>
  <si>
    <t>C-05</t>
  </si>
  <si>
    <t>Tủ lạnh Toshiba không chạy hoặc không lạnh thì tôi nên kiểm tra thứ tự nào?</t>
  </si>
  <si>
    <t>Hướng dẫn kiểm tra nguồn điện, cài đặt và điều kiện vận hành theo tài liệu; nêu tình huống phải liên hệ bảo hành/kỹ thuật.</t>
  </si>
  <si>
    <t>T005_toshiba_fridge_not_working.pdf</t>
  </si>
  <si>
    <t>C-06</t>
  </si>
  <si>
    <t>Điều hòa Toshiba có tiếng nước chảy và mùi lúc mới bật, có bình thường không?</t>
  </si>
  <si>
    <t>Điều hòa</t>
  </si>
  <si>
    <t>Đối chiếu các hiện tượng vận hành bình thường trong tài liệu; cảnh báo khi có mùi khét, khói hoặc rò điện.</t>
  </si>
  <si>
    <t>T006_toshiba_ac_normal_behaviors.pdf</t>
  </si>
  <si>
    <t>C-07</t>
  </si>
  <si>
    <t>Bao lâu thì nên vệ sinh, bảo dưỡng điều hòa Toshiba và cần làm những gì?</t>
  </si>
  <si>
    <t>Nêu lịch/hạng mục bảo dưỡng theo tài liệu và phân tách việc người dùng làm được với việc cần kỹ thuật viên.</t>
  </si>
  <si>
    <t>T007_toshiba_ac_maintenance.pdf</t>
  </si>
  <si>
    <t>C-08</t>
  </si>
  <si>
    <t>Bình nóng lạnh Ariston không nóng dù đèn báo vẫn sáng, nguyên nhân nào cần kiểm tra?</t>
  </si>
  <si>
    <t>Bình nước nóng</t>
  </si>
  <si>
    <t>Nêu các khả năng như thanh đốt, nút điều chỉnh nhiệt, nguồn/ELCB, cặn bẩn; ưu tiên ngắt điện và gọi kỹ thuật viên cho phần sửa chữa.</t>
  </si>
  <si>
    <t>T009_ariston_water_heater_not_heating.pdf</t>
  </si>
  <si>
    <t>Cao</t>
  </si>
  <si>
    <t>C-09</t>
  </si>
  <si>
    <t>Bình nóng lạnh Ariston nước nóng quá mức bất thường, tôi phải xử lý ra sao?</t>
  </si>
  <si>
    <t>Yêu cầu ngừng sử dụng/ngắt điện khi có dấu hiệu bất thường, nêu nguyên nhân liên quan bộ điều nhiệt và chuyển kỹ thuật viên xử lý.</t>
  </si>
  <si>
    <t>T010_ariston_water_heater_overheating.pdf</t>
  </si>
  <si>
    <t>C-10</t>
  </si>
  <si>
    <t>Bình nóng lạnh Ariston cần bảo dưỡng định kỳ thế nào?</t>
  </si>
  <si>
    <t>Nêu việc kiểm tra, vệ sinh/bảo dưỡng phù hợp theo tài liệu và các lưu ý ngắt nguồn điện trước khi thao tác.</t>
  </si>
  <si>
    <t>T008_ariston_water_heater_maintenance.pdf</t>
  </si>
  <si>
    <t>C-11</t>
  </si>
  <si>
    <t>Dùng bình nóng lạnh trực tiếp Ariston cần lưu ý an toàn điện gì?</t>
  </si>
  <si>
    <t>Nêu yêu cầu an toàn theo tài liệu, đặc biệt nối đất/thiết bị chống giật và không tiếp tục dùng khi có dấu hiệu rò điện.</t>
  </si>
  <si>
    <t>T011_ariston_instant_heater_safety.pdf</t>
  </si>
  <si>
    <t>C-12</t>
  </si>
  <si>
    <t>Bình nóng lạnh Ariston của tôi hay bị lỗi vặt, những lỗi thường gặp là gì?</t>
  </si>
  <si>
    <t>Tóm tắt lỗi thường gặp và hướng xử lý an toàn; không hướng dẫn tháo mở khi liên quan điện hoặc nước nóng áp lực.</t>
  </si>
  <si>
    <t>T012_ariston_water_heater_common_faults.pdf</t>
  </si>
  <si>
    <t>C-13</t>
  </si>
  <si>
    <t>Bình nước nóng năng lượng mặt trời Ariston cần bảo dưỡng những hạng mục nào?</t>
  </si>
  <si>
    <t>Nêu các hạng mục bảo dưỡng theo tài liệu và thời điểm cần gọi kỹ thuật viên.</t>
  </si>
  <si>
    <t>T013_ariston_solar_heater_maintenance.pdf</t>
  </si>
  <si>
    <t>C-14</t>
  </si>
  <si>
    <t>Tủ lạnh Panasonic được bảo hành bao lâu nếu đã kích hoạt bảo hành điện tử?</t>
  </si>
  <si>
    <t>Tra đúng thời hạn bảo hành hiện hành cho tủ lạnh, điều kiện kích hoạt/hóa đơn và mốc thời gian áp dụng của chính sách.</t>
  </si>
  <si>
    <t>W001_panasonic_warranty_period_2026.pdf</t>
  </si>
  <si>
    <t>C-15</t>
  </si>
  <si>
    <t>Những trường hợp nào có thể không được Panasonic bảo hành?</t>
  </si>
  <si>
    <t>Bảo hành</t>
  </si>
  <si>
    <t>Nêu các điều kiện và trường hợp loại trừ theo chính sách; không tự suy đoán ngoài tài liệu.</t>
  </si>
  <si>
    <t>W002_panasonic_warranty_terms.pdf</t>
  </si>
  <si>
    <t>C-16</t>
  </si>
  <si>
    <t>Tủ lạnh Panasonic nên sử dụng như thế nào để tiết kiệm điện và bảo quản thực phẩm?</t>
  </si>
  <si>
    <t>Nêu hướng dẫn sử dụng/bảo quản thực phẩm và cài đặt phù hợp theo tài liệu Panasonic.</t>
  </si>
  <si>
    <t>G001_panasonic_fridge_usage_guide.pdf</t>
  </si>
  <si>
    <t>C-17</t>
  </si>
  <si>
    <t>Máy giặt Samsung WA14CG5886BDSV có lưu ý gì khi lắp đặt và sử dụng lần đầu?</t>
  </si>
  <si>
    <t>Lấy đúng các lưu ý lắp đặt và vận hành ban đầu theo sách hướng dẫn của model; không trả lời từ tài liệu máy khác.</t>
  </si>
  <si>
    <t>M001_samsung_WA14CG5886BDSV_manual_vi.pdf</t>
  </si>
  <si>
    <t>C-18</t>
  </si>
  <si>
    <t>Máy giặt LG FB1209D5W cần vệ sinh, sử dụng thế nào để tránh mùi và hoạt động ổn định?</t>
  </si>
  <si>
    <t>Lấy các hướng dẫn chăm sóc/vệ sinh và sử dụng đúng cho model; không thay thế bằng hướng dẫn của hãng khác.</t>
  </si>
  <si>
    <t>M009_lg_FB1209D5W_manual_vi.pdf</t>
  </si>
  <si>
    <t>C-19</t>
  </si>
  <si>
    <t>Tủ đông LG LOF16BGM mới mua cần lắp đặt và cài đặt thế nào?</t>
  </si>
  <si>
    <t>Tủ đông</t>
  </si>
  <si>
    <t>Lấy đúng yêu cầu vị trí lắp đặt, nguồn điện và vận hành ban đầu theo sách hướng dẫn model.</t>
  </si>
  <si>
    <t>M006_lg_LOF16BGM_manual_vi.pdf</t>
  </si>
  <si>
    <t>C-20</t>
  </si>
  <si>
    <t>Điều hòa LG IDC09M1N có hướng dẫn vận hành và vệ sinh cơ bản nào cho người dùng?</t>
  </si>
  <si>
    <t>Lấy các thao tác vận hành/vệ sinh được phép theo tài liệu model; chuyển kỹ thuật viên khi liên quan điện, gas hoặc rò rỉ.</t>
  </si>
  <si>
    <t>M005_lg_IDC09M1N_manual_vi.pdf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</si>
  <si>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</si>
  <si>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</si>
  <si>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</si>
  <si>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</si>
  <si>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</si>
  <si>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</si>
  <si>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</si>
  <si>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</si>
  <si>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</si>
  <si>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</si>
  <si>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</si>
  <si>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</si>
  <si>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</si>
  <si>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</si>
  <si>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</si>
  <si>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</si>
  <si>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</si>
  <si>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</si>
  <si>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</si>
  <si>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</si>
  <si>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</si>
  <si>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</si>
  <si>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</si>
  <si>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</si>
  <si>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</si>
  <si>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</si>
  <si>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</si>
  <si>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</si>
  <si>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</si>
  <si>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</si>
  <si>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</si>
  <si>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</si>
  <si>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</si>
  <si>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</si>
  <si>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</si>
  <si>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</si>
  <si>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</si>
  <si>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</si>
  <si>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</si>
  <si>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</si>
  <si>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</si>
  <si>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</si>
  <si>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C-63</t>
  </si>
  <si>
    <t>C-64</t>
  </si>
  <si>
    <t>C-65</t>
  </si>
  <si>
    <t>C-66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</si>
  <si>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</si>
  <si>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</si>
  <si>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</si>
  <si>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</si>
  <si>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</si>
  <si>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</si>
  <si>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</si>
  <si>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</si>
  <si>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</si>
  <si>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C-76</t>
  </si>
  <si>
    <t>C-77</t>
  </si>
  <si>
    <t>C-78</t>
  </si>
  <si>
    <t>C-79</t>
  </si>
  <si>
    <t>C-80</t>
  </si>
  <si>
    <t>Đã điền</t>
  </si>
  <si>
    <t>/ 80</t>
  </si>
  <si>
    <t>Hỏi thẳng</t>
  </si>
  <si>
    <t>mục tiêu 25</t>
  </si>
  <si>
    <t>Nguy hiểm</t>
  </si>
  <si>
    <t>mục tiêu 20</t>
  </si>
  <si>
    <t>Mơ hồ</t>
  </si>
  <si>
    <t>mục tiêu 10</t>
  </si>
  <si>
    <t>✓</t>
  </si>
  <si>
    <t>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</si>
</sst>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/>
    <xf numFmtId="0" fontId="6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3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workbookViewId="0">
      <pane xSplit="1" ySplit="4" topLeftCell="C5" activePane="bottomRight" state="frozen"/>
      <selection pane="topRight"/>
      <selection pane="bottomLeft"/>
      <selection pane="bottomRight" activeCell="D9" sqref="D9"/>
    </sheetView>
  </sheetViews>
  <sheetFormatPr defaultColWidth="8.6640625" defaultRowHeight="14.4" x14ac:dyDescent="0.3"/>
  <cols>
    <col min="1" max="1" width="8" style="7" customWidth="1"/>
    <col min="2" max="2" width="56" style="7" customWidth="1"/>
    <col min="3" max="3" width="17" style="7" customWidth="1"/>
    <col min="4" max="4" width="15" style="7" customWidth="1"/>
    <col min="5" max="5" width="18" style="7" customWidth="1"/>
    <col min="6" max="6" width="50" style="7" customWidth="1"/>
    <col min="7" max="7" width="34" style="7" customWidth="1"/>
    <col min="8" max="8" width="12" style="7" customWidth="1"/>
    <col min="9" max="9" width="10" style="7" customWidth="1"/>
  </cols>
  <sheetData>
    <row r="1" spans="1:9" ht="24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15.75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</row>
    <row r="4" spans="1:9" ht="1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 customHeight="1" x14ac:dyDescent="0.3">
      <c r="A5" s="10" t="s">
        <v>11</v>
      </c>
      <c r="B5" s="10"/>
      <c r="C5" s="10"/>
      <c r="D5" s="10"/>
      <c r="E5" s="10"/>
      <c r="F5" s="10"/>
      <c r="G5" s="10"/>
      <c r="H5" s="10"/>
      <c r="I5" s="10"/>
    </row>
    <row r="6" spans="1:9" ht="42.6" customHeight="1" x14ac:dyDescent="0.3">
      <c r="A6" s="2" t="s">
        <v>12</v>
      </c>
      <c r="B6" s="3" t="s">
        <v>13</v>
      </c>
      <c r="C6" s="2" t="s">
        <v>14</v>
      </c>
      <c r="D6" s="2" t="s">
        <v>15</v>
      </c>
      <c r="E6" s="3" t="s">
        <v>16</v>
      </c>
      <c r="F6" s="3" t="s">
        <v>17</v>
      </c>
      <c r="G6" s="3" t="s">
        <v>18</v>
      </c>
      <c r="H6" s="2" t="s">
        <v>19</v>
      </c>
      <c r="I6" s="2" t="s">
        <v>170</v>
      </c>
    </row>
    <row r="7" spans="1:9" ht="33.75" customHeight="1" x14ac:dyDescent="0.3">
      <c r="A7" s="2" t="s">
        <v>20</v>
      </c>
      <c r="B7" s="3" t="s">
        <v>21</v>
      </c>
      <c r="C7" s="2" t="s">
        <v>14</v>
      </c>
      <c r="D7" s="2" t="s">
        <v>15</v>
      </c>
      <c r="E7" s="3" t="s">
        <v>16</v>
      </c>
      <c r="F7" s="3" t="s">
        <v>22</v>
      </c>
      <c r="G7" s="3" t="s">
        <v>23</v>
      </c>
      <c r="H7" s="2" t="s">
        <v>19</v>
      </c>
      <c r="I7" s="2" t="s">
        <v>170</v>
      </c>
    </row>
    <row r="8" spans="1:9" ht="33.75" customHeight="1" x14ac:dyDescent="0.3">
      <c r="A8" s="2" t="s">
        <v>24</v>
      </c>
      <c r="B8" s="3" t="s">
        <v>25</v>
      </c>
      <c r="C8" s="2" t="s">
        <v>14</v>
      </c>
      <c r="D8" s="2" t="s">
        <v>26</v>
      </c>
      <c r="E8" s="3" t="s">
        <v>16</v>
      </c>
      <c r="F8" s="3" t="s">
        <v>27</v>
      </c>
      <c r="G8" s="3" t="s">
        <v>28</v>
      </c>
      <c r="H8" s="2" t="s">
        <v>19</v>
      </c>
      <c r="I8" s="2" t="s">
        <v>170</v>
      </c>
    </row>
    <row r="9" spans="1:9" ht="33.75" customHeight="1" x14ac:dyDescent="0.3">
      <c r="A9" s="2" t="s">
        <v>29</v>
      </c>
      <c r="B9" s="3" t="s">
        <v>30</v>
      </c>
      <c r="C9" s="2" t="s">
        <v>14</v>
      </c>
      <c r="D9" s="2" t="s">
        <v>26</v>
      </c>
      <c r="E9" s="3" t="s">
        <v>16</v>
      </c>
      <c r="F9" s="3" t="s">
        <v>31</v>
      </c>
      <c r="G9" s="3" t="s">
        <v>32</v>
      </c>
      <c r="H9" s="2" t="s">
        <v>19</v>
      </c>
      <c r="I9" s="2" t="s">
        <v>170</v>
      </c>
    </row>
    <row r="10" spans="1:9" ht="33.75" customHeight="1" x14ac:dyDescent="0.3">
      <c r="A10" s="2" t="s">
        <v>33</v>
      </c>
      <c r="B10" s="3" t="s">
        <v>34</v>
      </c>
      <c r="C10" s="2" t="s">
        <v>14</v>
      </c>
      <c r="D10" s="2" t="s">
        <v>26</v>
      </c>
      <c r="E10" s="3" t="s">
        <v>16</v>
      </c>
      <c r="F10" s="3" t="s">
        <v>35</v>
      </c>
      <c r="G10" s="3" t="s">
        <v>36</v>
      </c>
      <c r="H10" s="2" t="s">
        <v>19</v>
      </c>
      <c r="I10" s="2" t="s">
        <v>170</v>
      </c>
    </row>
    <row r="11" spans="1:9" ht="33.75" customHeight="1" x14ac:dyDescent="0.3">
      <c r="A11" s="2" t="s">
        <v>37</v>
      </c>
      <c r="B11" s="3" t="s">
        <v>38</v>
      </c>
      <c r="C11" s="2" t="s">
        <v>14</v>
      </c>
      <c r="D11" s="2" t="s">
        <v>39</v>
      </c>
      <c r="E11" s="3" t="s">
        <v>16</v>
      </c>
      <c r="F11" s="3" t="s">
        <v>40</v>
      </c>
      <c r="G11" s="3" t="s">
        <v>41</v>
      </c>
      <c r="H11" s="2" t="s">
        <v>19</v>
      </c>
      <c r="I11" s="2" t="s">
        <v>170</v>
      </c>
    </row>
    <row r="12" spans="1:9" ht="33.75" customHeight="1" x14ac:dyDescent="0.3">
      <c r="A12" s="2" t="s">
        <v>42</v>
      </c>
      <c r="B12" s="3" t="s">
        <v>43</v>
      </c>
      <c r="C12" s="2" t="s">
        <v>14</v>
      </c>
      <c r="D12" s="2" t="s">
        <v>39</v>
      </c>
      <c r="E12" s="3" t="s">
        <v>16</v>
      </c>
      <c r="F12" s="3" t="s">
        <v>44</v>
      </c>
      <c r="G12" s="3" t="s">
        <v>45</v>
      </c>
      <c r="H12" s="2" t="s">
        <v>19</v>
      </c>
      <c r="I12" s="2" t="s">
        <v>171</v>
      </c>
    </row>
    <row r="13" spans="1:9" ht="33.75" customHeight="1" x14ac:dyDescent="0.3">
      <c r="A13" s="2" t="s">
        <v>46</v>
      </c>
      <c r="B13" s="3" t="s">
        <v>47</v>
      </c>
      <c r="C13" s="2" t="s">
        <v>14</v>
      </c>
      <c r="D13" s="2" t="s">
        <v>48</v>
      </c>
      <c r="E13" s="3" t="s">
        <v>16</v>
      </c>
      <c r="F13" s="3" t="s">
        <v>49</v>
      </c>
      <c r="G13" s="3" t="s">
        <v>50</v>
      </c>
      <c r="H13" s="2" t="s">
        <v>51</v>
      </c>
      <c r="I13" s="2" t="s">
        <v>170</v>
      </c>
    </row>
    <row r="14" spans="1:9" ht="33.75" customHeight="1" x14ac:dyDescent="0.3">
      <c r="A14" s="2" t="s">
        <v>52</v>
      </c>
      <c r="B14" s="3" t="s">
        <v>53</v>
      </c>
      <c r="C14" s="2" t="s">
        <v>14</v>
      </c>
      <c r="D14" s="2" t="s">
        <v>48</v>
      </c>
      <c r="E14" s="3" t="s">
        <v>16</v>
      </c>
      <c r="F14" s="3" t="s">
        <v>54</v>
      </c>
      <c r="G14" s="3" t="s">
        <v>55</v>
      </c>
      <c r="H14" s="2" t="s">
        <v>51</v>
      </c>
      <c r="I14" s="2" t="s">
        <v>170</v>
      </c>
    </row>
    <row r="15" spans="1:9" ht="33.75" customHeight="1" x14ac:dyDescent="0.3">
      <c r="A15" s="2" t="s">
        <v>56</v>
      </c>
      <c r="B15" s="3" t="s">
        <v>57</v>
      </c>
      <c r="C15" s="2" t="s">
        <v>14</v>
      </c>
      <c r="D15" s="2" t="s">
        <v>48</v>
      </c>
      <c r="E15" s="3" t="s">
        <v>16</v>
      </c>
      <c r="F15" s="3" t="s">
        <v>58</v>
      </c>
      <c r="G15" s="3" t="s">
        <v>59</v>
      </c>
      <c r="H15" s="2" t="s">
        <v>51</v>
      </c>
      <c r="I15" s="2" t="s">
        <v>170</v>
      </c>
    </row>
    <row r="16" spans="1:9" ht="33.75" customHeight="1" x14ac:dyDescent="0.3">
      <c r="A16" s="2" t="s">
        <v>60</v>
      </c>
      <c r="B16" s="3" t="s">
        <v>61</v>
      </c>
      <c r="C16" s="2" t="s">
        <v>14</v>
      </c>
      <c r="D16" s="2" t="s">
        <v>48</v>
      </c>
      <c r="E16" s="3" t="s">
        <v>16</v>
      </c>
      <c r="F16" s="3" t="s">
        <v>62</v>
      </c>
      <c r="G16" s="3" t="s">
        <v>63</v>
      </c>
      <c r="H16" s="2" t="s">
        <v>51</v>
      </c>
      <c r="I16" s="2" t="s">
        <v>170</v>
      </c>
    </row>
    <row r="17" spans="1:9" ht="33.75" customHeight="1" x14ac:dyDescent="0.3">
      <c r="A17" s="2" t="s">
        <v>64</v>
      </c>
      <c r="B17" s="3" t="s">
        <v>65</v>
      </c>
      <c r="C17" s="2" t="s">
        <v>14</v>
      </c>
      <c r="D17" s="2" t="s">
        <v>48</v>
      </c>
      <c r="E17" s="3" t="s">
        <v>16</v>
      </c>
      <c r="F17" s="3" t="s">
        <v>66</v>
      </c>
      <c r="G17" s="3" t="s">
        <v>67</v>
      </c>
      <c r="H17" s="2" t="s">
        <v>51</v>
      </c>
      <c r="I17" s="2" t="s">
        <v>171</v>
      </c>
    </row>
    <row r="18" spans="1:9" ht="33.75" customHeight="1" x14ac:dyDescent="0.3">
      <c r="A18" s="2" t="s">
        <v>68</v>
      </c>
      <c r="B18" s="3" t="s">
        <v>69</v>
      </c>
      <c r="C18" s="2" t="s">
        <v>14</v>
      </c>
      <c r="D18" s="2" t="s">
        <v>48</v>
      </c>
      <c r="E18" s="3" t="s">
        <v>16</v>
      </c>
      <c r="F18" s="3" t="s">
        <v>70</v>
      </c>
      <c r="G18" s="3" t="s">
        <v>71</v>
      </c>
      <c r="H18" s="2" t="s">
        <v>19</v>
      </c>
      <c r="I18" s="2" t="s">
        <v>170</v>
      </c>
    </row>
    <row r="19" spans="1:9" ht="33.75" customHeight="1" x14ac:dyDescent="0.3">
      <c r="A19" s="2" t="s">
        <v>72</v>
      </c>
      <c r="B19" s="3" t="s">
        <v>73</v>
      </c>
      <c r="C19" s="2" t="s">
        <v>14</v>
      </c>
      <c r="D19" s="2" t="s">
        <v>26</v>
      </c>
      <c r="E19" s="3" t="s">
        <v>16</v>
      </c>
      <c r="F19" s="3" t="s">
        <v>74</v>
      </c>
      <c r="G19" s="3" t="s">
        <v>75</v>
      </c>
      <c r="H19" s="2" t="s">
        <v>19</v>
      </c>
      <c r="I19" s="2" t="s">
        <v>171</v>
      </c>
    </row>
    <row r="20" spans="1:9" ht="33.75" customHeight="1" x14ac:dyDescent="0.3">
      <c r="A20" s="2" t="s">
        <v>76</v>
      </c>
      <c r="B20" s="3" t="s">
        <v>77</v>
      </c>
      <c r="C20" s="2" t="s">
        <v>14</v>
      </c>
      <c r="D20" s="2" t="s">
        <v>78</v>
      </c>
      <c r="E20" s="3" t="s">
        <v>16</v>
      </c>
      <c r="F20" s="3" t="s">
        <v>79</v>
      </c>
      <c r="G20" s="3" t="s">
        <v>80</v>
      </c>
      <c r="H20" s="2" t="s">
        <v>19</v>
      </c>
      <c r="I20" s="2" t="s">
        <v>170</v>
      </c>
    </row>
    <row r="21" spans="1:9" ht="33.75" customHeight="1" x14ac:dyDescent="0.3">
      <c r="A21" s="2" t="s">
        <v>81</v>
      </c>
      <c r="B21" s="3" t="s">
        <v>82</v>
      </c>
      <c r="C21" s="2" t="s">
        <v>14</v>
      </c>
      <c r="D21" s="2" t="s">
        <v>26</v>
      </c>
      <c r="E21" s="3" t="s">
        <v>16</v>
      </c>
      <c r="F21" s="3" t="s">
        <v>83</v>
      </c>
      <c r="G21" s="3" t="s">
        <v>84</v>
      </c>
      <c r="H21" s="2" t="s">
        <v>19</v>
      </c>
      <c r="I21" s="2" t="s">
        <v>171</v>
      </c>
    </row>
    <row r="22" spans="1:9" ht="33.75" customHeight="1" x14ac:dyDescent="0.3">
      <c r="A22" s="2" t="s">
        <v>85</v>
      </c>
      <c r="B22" s="3" t="s">
        <v>86</v>
      </c>
      <c r="C22" s="2" t="s">
        <v>14</v>
      </c>
      <c r="D22" s="2" t="s">
        <v>15</v>
      </c>
      <c r="E22" s="3" t="s">
        <v>16</v>
      </c>
      <c r="F22" s="3" t="s">
        <v>87</v>
      </c>
      <c r="G22" s="3" t="s">
        <v>88</v>
      </c>
      <c r="H22" s="2" t="s">
        <v>19</v>
      </c>
      <c r="I22" s="2" t="s">
        <v>170</v>
      </c>
    </row>
    <row r="23" spans="1:9" ht="33.75" customHeight="1" x14ac:dyDescent="0.3">
      <c r="A23" s="2" t="s">
        <v>89</v>
      </c>
      <c r="B23" s="3" t="s">
        <v>90</v>
      </c>
      <c r="C23" s="2" t="s">
        <v>14</v>
      </c>
      <c r="D23" s="2" t="s">
        <v>15</v>
      </c>
      <c r="E23" s="3" t="s">
        <v>16</v>
      </c>
      <c r="F23" s="3" t="s">
        <v>91</v>
      </c>
      <c r="G23" s="3" t="s">
        <v>92</v>
      </c>
      <c r="H23" s="2" t="s">
        <v>19</v>
      </c>
      <c r="I23" s="2" t="s">
        <v>170</v>
      </c>
    </row>
    <row r="24" spans="1:9" ht="33.75" customHeight="1" x14ac:dyDescent="0.3">
      <c r="A24" s="2" t="s">
        <v>93</v>
      </c>
      <c r="B24" s="3" t="s">
        <v>94</v>
      </c>
      <c r="C24" s="2" t="s">
        <v>14</v>
      </c>
      <c r="D24" s="2" t="s">
        <v>95</v>
      </c>
      <c r="E24" s="3" t="s">
        <v>16</v>
      </c>
      <c r="F24" s="3" t="s">
        <v>96</v>
      </c>
      <c r="G24" s="3" t="s">
        <v>97</v>
      </c>
      <c r="H24" s="2" t="s">
        <v>19</v>
      </c>
      <c r="I24" s="2" t="s">
        <v>170</v>
      </c>
    </row>
    <row r="25" spans="1:9" ht="33.75" customHeight="1" x14ac:dyDescent="0.3">
      <c r="A25" s="2" t="s">
        <v>98</v>
      </c>
      <c r="B25" s="3" t="s">
        <v>99</v>
      </c>
      <c r="C25" s="2" t="s">
        <v>14</v>
      </c>
      <c r="D25" s="2" t="s">
        <v>39</v>
      </c>
      <c r="E25" s="3" t="s">
        <v>16</v>
      </c>
      <c r="F25" s="3" t="s">
        <v>100</v>
      </c>
      <c r="G25" s="3" t="s">
        <v>101</v>
      </c>
      <c r="H25" s="2" t="s">
        <v>19</v>
      </c>
      <c r="I25" s="2" t="s">
        <v>170</v>
      </c>
    </row>
    <row r="26" spans="1:9" ht="33.75" customHeight="1" x14ac:dyDescent="0.3">
      <c r="A26" s="2" t="s">
        <v>102</v>
      </c>
      <c r="B26" s="3"/>
      <c r="C26" s="2"/>
      <c r="D26" s="2"/>
      <c r="E26" s="3"/>
      <c r="F26" s="3"/>
      <c r="G26" s="3"/>
      <c r="H26" s="2"/>
      <c r="I26" s="2"/>
    </row>
    <row r="27" spans="1:9" ht="33.75" customHeight="1" x14ac:dyDescent="0.3">
      <c r="A27" s="2" t="s">
        <v>103</v>
      </c>
      <c r="B27" s="3"/>
      <c r="C27" s="2"/>
      <c r="D27" s="2"/>
      <c r="E27" s="3"/>
      <c r="F27" s="3"/>
      <c r="G27" s="3"/>
      <c r="H27" s="2"/>
      <c r="I27" s="2"/>
    </row>
    <row r="28" spans="1:9" ht="33.75" customHeight="1" x14ac:dyDescent="0.3">
      <c r="A28" s="2" t="s">
        <v>104</v>
      </c>
      <c r="B28" s="3"/>
      <c r="C28" s="2"/>
      <c r="D28" s="2"/>
      <c r="E28" s="3"/>
      <c r="F28" s="3"/>
      <c r="G28" s="3"/>
      <c r="H28" s="2"/>
      <c r="I28" s="2"/>
    </row>
    <row r="29" spans="1:9" ht="33.75" customHeight="1" x14ac:dyDescent="0.3">
      <c r="A29" s="2" t="s">
        <v>105</v>
      </c>
      <c r="B29" s="3"/>
      <c r="C29" s="2"/>
      <c r="D29" s="2"/>
      <c r="E29" s="3"/>
      <c r="F29" s="3"/>
      <c r="G29" s="3"/>
      <c r="H29" s="2"/>
      <c r="I29" s="2"/>
    </row>
    <row r="30" spans="1:9" ht="33.75" customHeight="1" x14ac:dyDescent="0.3">
      <c r="A30" s="2" t="s">
        <v>106</v>
      </c>
      <c r="B30" s="3"/>
      <c r="C30" s="2"/>
      <c r="D30" s="2"/>
      <c r="E30" s="3"/>
      <c r="F30" s="3"/>
      <c r="G30" s="3"/>
      <c r="H30" s="2"/>
      <c r="I30" s="2"/>
    </row>
    <row r="31" spans="1:9" ht="33.75" customHeight="1" x14ac:dyDescent="0.3">
      <c r="A31" s="2" t="s">
        <v>107</v>
      </c>
      <c r="B31" s="3"/>
      <c r="C31" s="2"/>
      <c r="D31" s="2"/>
      <c r="E31" s="3"/>
      <c r="F31" s="3"/>
      <c r="G31" s="3"/>
      <c r="H31" s="2"/>
      <c r="I31" s="2"/>
    </row>
    <row r="32" spans="1:9" ht="33.75" customHeight="1" x14ac:dyDescent="0.3">
      <c r="A32" s="2" t="s">
        <v>108</v>
      </c>
      <c r="B32" s="3"/>
      <c r="C32" s="2"/>
      <c r="D32" s="2"/>
      <c r="E32" s="3"/>
      <c r="F32" s="3"/>
      <c r="G32" s="3"/>
      <c r="H32" s="2"/>
      <c r="I32" s="2"/>
    </row>
    <row r="33" spans="1:9" ht="33.75" customHeight="1" x14ac:dyDescent="0.3">
      <c r="A33" s="2" t="s">
        <v>109</v>
      </c>
      <c r="B33" s="3"/>
      <c r="C33" s="2"/>
      <c r="D33" s="2"/>
      <c r="E33" s="3"/>
      <c r="F33" s="3"/>
      <c r="G33" s="3"/>
      <c r="H33" s="2"/>
      <c r="I33" s="2"/>
    </row>
    <row r="34" spans="1:9" ht="33.75" customHeight="1" x14ac:dyDescent="0.3">
      <c r="A34" s="2" t="s">
        <v>110</v>
      </c>
      <c r="B34" s="3"/>
      <c r="C34" s="2"/>
      <c r="D34" s="2"/>
      <c r="E34" s="3"/>
      <c r="F34" s="3"/>
      <c r="G34" s="3"/>
      <c r="H34" s="2"/>
      <c r="I34" s="2"/>
    </row>
    <row r="35" spans="1:9" ht="33.75" customHeight="1" x14ac:dyDescent="0.3">
      <c r="A35" s="2" t="s">
        <v>111</v>
      </c>
      <c r="B35" s="3"/>
      <c r="C35" s="2"/>
      <c r="D35" s="2"/>
      <c r="E35" s="3"/>
      <c r="F35" s="3"/>
      <c r="G35" s="3"/>
      <c r="H35" s="2"/>
      <c r="I35" s="2"/>
    </row>
    <row r="36" spans="1:9" ht="33.75" customHeight="1" x14ac:dyDescent="0.3">
      <c r="A36" s="2" t="s">
        <v>112</v>
      </c>
      <c r="B36" s="3"/>
      <c r="C36" s="2"/>
      <c r="D36" s="2"/>
      <c r="E36" s="3"/>
      <c r="F36" s="3"/>
      <c r="G36" s="3"/>
      <c r="H36" s="2"/>
      <c r="I36" s="2"/>
    </row>
    <row r="37" spans="1:9" ht="33.75" customHeight="1" x14ac:dyDescent="0.3">
      <c r="A37" s="2" t="s">
        <v>113</v>
      </c>
      <c r="B37" s="3"/>
      <c r="C37" s="2"/>
      <c r="D37" s="2"/>
      <c r="E37" s="3"/>
      <c r="F37" s="3"/>
      <c r="G37" s="3"/>
      <c r="H37" s="2"/>
      <c r="I37" s="2"/>
    </row>
    <row r="38" spans="1:9" ht="33.75" customHeight="1" x14ac:dyDescent="0.3">
      <c r="A38" s="2" t="s">
        <v>114</v>
      </c>
      <c r="B38" s="3"/>
      <c r="C38" s="2"/>
      <c r="D38" s="2"/>
      <c r="E38" s="3"/>
      <c r="F38" s="3"/>
      <c r="G38" s="3"/>
      <c r="H38" s="2"/>
      <c r="I38" s="2"/>
    </row>
    <row r="39" spans="1:9" ht="33.75" customHeight="1" x14ac:dyDescent="0.3">
      <c r="A39" s="2" t="s">
        <v>115</v>
      </c>
      <c r="B39" s="3"/>
      <c r="C39" s="2"/>
      <c r="D39" s="2"/>
      <c r="E39" s="3"/>
      <c r="F39" s="3"/>
      <c r="G39" s="3"/>
      <c r="H39" s="2"/>
      <c r="I39" s="2"/>
    </row>
    <row r="40" spans="1:9" ht="33.75" customHeight="1" x14ac:dyDescent="0.3">
      <c r="A40" s="2" t="s">
        <v>116</v>
      </c>
      <c r="B40" s="3"/>
      <c r="C40" s="2"/>
      <c r="D40" s="2"/>
      <c r="E40" s="3"/>
      <c r="F40" s="3"/>
      <c r="G40" s="3"/>
      <c r="H40" s="2"/>
      <c r="I40" s="2"/>
    </row>
    <row r="41" spans="1:9" ht="33.75" customHeight="1" x14ac:dyDescent="0.3">
      <c r="A41" s="2" t="s">
        <v>117</v>
      </c>
      <c r="B41" s="3"/>
      <c r="C41" s="2"/>
      <c r="D41" s="2"/>
      <c r="E41" s="3"/>
      <c r="F41" s="3"/>
      <c r="G41" s="3"/>
      <c r="H41" s="2"/>
      <c r="I41" s="2"/>
    </row>
    <row r="42" spans="1:9" ht="33.75" customHeight="1" x14ac:dyDescent="0.3">
      <c r="A42" s="2" t="s">
        <v>118</v>
      </c>
      <c r="B42" s="3"/>
      <c r="C42" s="2"/>
      <c r="D42" s="2"/>
      <c r="E42" s="3"/>
      <c r="F42" s="3"/>
      <c r="G42" s="3"/>
      <c r="H42" s="2"/>
      <c r="I42" s="2"/>
    </row>
    <row r="43" spans="1:9" ht="33.75" customHeight="1" x14ac:dyDescent="0.3">
      <c r="A43" s="2" t="s">
        <v>119</v>
      </c>
      <c r="B43" s="3"/>
      <c r="C43" s="2"/>
      <c r="D43" s="2"/>
      <c r="E43" s="3"/>
      <c r="F43" s="3"/>
      <c r="G43" s="3"/>
      <c r="H43" s="2"/>
      <c r="I43" s="2"/>
    </row>
    <row r="44" spans="1:9" ht="33.75" customHeight="1" x14ac:dyDescent="0.3">
      <c r="A44" s="2" t="s">
        <v>120</v>
      </c>
      <c r="B44" s="3"/>
      <c r="C44" s="2"/>
      <c r="D44" s="2"/>
      <c r="E44" s="3"/>
      <c r="F44" s="3"/>
      <c r="G44" s="3"/>
      <c r="H44" s="2"/>
      <c r="I44" s="2"/>
    </row>
    <row r="45" spans="1:9" ht="33.75" customHeight="1" x14ac:dyDescent="0.3">
      <c r="A45" s="2" t="s">
        <v>121</v>
      </c>
      <c r="B45" s="3"/>
      <c r="C45" s="2"/>
      <c r="D45" s="2"/>
      <c r="E45" s="3"/>
      <c r="F45" s="3"/>
      <c r="G45" s="3"/>
      <c r="H45" s="2"/>
      <c r="I45" s="2"/>
    </row>
    <row r="46" spans="1:9" ht="33.75" customHeight="1" x14ac:dyDescent="0.3">
      <c r="A46" s="2" t="s">
        <v>122</v>
      </c>
      <c r="B46" s="3"/>
      <c r="C46" s="2"/>
      <c r="D46" s="2"/>
      <c r="E46" s="3"/>
      <c r="F46" s="3"/>
      <c r="G46" s="3"/>
      <c r="H46" s="2"/>
      <c r="I46" s="2"/>
    </row>
    <row r="47" spans="1:9" ht="33.75" customHeight="1" x14ac:dyDescent="0.3">
      <c r="A47" s="2" t="s">
        <v>123</v>
      </c>
      <c r="B47" s="3"/>
      <c r="C47" s="2"/>
      <c r="D47" s="2"/>
      <c r="E47" s="3"/>
      <c r="F47" s="3"/>
      <c r="G47" s="3"/>
      <c r="H47" s="2"/>
      <c r="I47" s="2"/>
    </row>
    <row r="48" spans="1:9" ht="33.75" customHeight="1" x14ac:dyDescent="0.3">
      <c r="A48" s="2" t="s">
        <v>124</v>
      </c>
      <c r="B48" s="3"/>
      <c r="C48" s="2"/>
      <c r="D48" s="2"/>
      <c r="E48" s="3"/>
      <c r="F48" s="3"/>
      <c r="G48" s="3"/>
      <c r="H48" s="2"/>
      <c r="I48" s="2"/>
    </row>
    <row r="49" spans="1:9" ht="33.75" customHeight="1" x14ac:dyDescent="0.3">
      <c r="A49" s="2" t="s">
        <v>125</v>
      </c>
      <c r="B49" s="3"/>
      <c r="C49" s="2"/>
      <c r="D49" s="2"/>
      <c r="E49" s="3"/>
      <c r="F49" s="3"/>
      <c r="G49" s="3"/>
      <c r="H49" s="2"/>
      <c r="I49" s="2"/>
    </row>
    <row r="50" spans="1:9" ht="33.75" customHeight="1" x14ac:dyDescent="0.3">
      <c r="A50" s="2" t="s">
        <v>126</v>
      </c>
      <c r="B50" s="3"/>
      <c r="C50" s="2"/>
      <c r="D50" s="2"/>
      <c r="E50" s="3"/>
      <c r="F50" s="3"/>
      <c r="G50" s="3"/>
      <c r="H50" s="2"/>
      <c r="I50" s="2"/>
    </row>
    <row r="51" spans="1:9" ht="33.75" customHeight="1" x14ac:dyDescent="0.3">
      <c r="A51" s="2" t="s">
        <v>127</v>
      </c>
      <c r="B51" s="3"/>
      <c r="C51" s="2"/>
      <c r="D51" s="2"/>
      <c r="E51" s="3"/>
      <c r="F51" s="3"/>
      <c r="G51" s="3"/>
      <c r="H51" s="2"/>
      <c r="I51" s="2"/>
    </row>
    <row r="52" spans="1:9" ht="33.75" customHeight="1" x14ac:dyDescent="0.3">
      <c r="A52" s="2" t="s">
        <v>128</v>
      </c>
      <c r="B52" s="3"/>
      <c r="C52" s="2"/>
      <c r="D52" s="2"/>
      <c r="E52" s="3"/>
      <c r="F52" s="3"/>
      <c r="G52" s="3"/>
      <c r="H52" s="2"/>
      <c r="I52" s="2"/>
    </row>
    <row r="53" spans="1:9" ht="33.75" customHeight="1" x14ac:dyDescent="0.3">
      <c r="A53" s="2" t="s">
        <v>129</v>
      </c>
      <c r="B53" s="3"/>
      <c r="C53" s="2"/>
      <c r="D53" s="2"/>
      <c r="E53" s="3"/>
      <c r="F53" s="3"/>
      <c r="G53" s="3"/>
      <c r="H53" s="2"/>
      <c r="I53" s="2"/>
    </row>
    <row r="54" spans="1:9" ht="33.75" customHeight="1" x14ac:dyDescent="0.3">
      <c r="A54" s="2" t="s">
        <v>130</v>
      </c>
      <c r="B54" s="3"/>
      <c r="C54" s="2"/>
      <c r="D54" s="2"/>
      <c r="E54" s="3"/>
      <c r="F54" s="3"/>
      <c r="G54" s="3"/>
      <c r="H54" s="2"/>
      <c r="I54" s="2"/>
    </row>
    <row r="55" spans="1:9" ht="33.75" customHeight="1" x14ac:dyDescent="0.3">
      <c r="A55" s="2" t="s">
        <v>131</v>
      </c>
      <c r="B55" s="3"/>
      <c r="C55" s="2"/>
      <c r="D55" s="2"/>
      <c r="E55" s="3"/>
      <c r="F55" s="3"/>
      <c r="G55" s="3"/>
      <c r="H55" s="2"/>
      <c r="I55" s="2"/>
    </row>
    <row r="56" spans="1:9" ht="33.75" customHeight="1" x14ac:dyDescent="0.3">
      <c r="A56" s="2" t="s">
        <v>132</v>
      </c>
      <c r="B56" s="3"/>
      <c r="C56" s="2"/>
      <c r="D56" s="2"/>
      <c r="E56" s="3"/>
      <c r="F56" s="3"/>
      <c r="G56" s="3"/>
      <c r="H56" s="2"/>
      <c r="I56" s="2"/>
    </row>
    <row r="57" spans="1:9" ht="33.75" customHeight="1" x14ac:dyDescent="0.3">
      <c r="A57" s="2" t="s">
        <v>133</v>
      </c>
      <c r="B57" s="3"/>
      <c r="C57" s="2"/>
      <c r="D57" s="2"/>
      <c r="E57" s="3"/>
      <c r="F57" s="3"/>
      <c r="G57" s="3"/>
      <c r="H57" s="2"/>
      <c r="I57" s="2"/>
    </row>
    <row r="58" spans="1:9" ht="33.75" customHeight="1" x14ac:dyDescent="0.3">
      <c r="A58" s="2" t="s">
        <v>134</v>
      </c>
      <c r="B58" s="3"/>
      <c r="C58" s="2"/>
      <c r="D58" s="2"/>
      <c r="E58" s="3"/>
      <c r="F58" s="3"/>
      <c r="G58" s="3"/>
      <c r="H58" s="2"/>
      <c r="I58" s="2"/>
    </row>
    <row r="59" spans="1:9" ht="33.75" customHeight="1" x14ac:dyDescent="0.3">
      <c r="A59" s="2" t="s">
        <v>135</v>
      </c>
      <c r="B59" s="3"/>
      <c r="C59" s="2"/>
      <c r="D59" s="2"/>
      <c r="E59" s="3"/>
      <c r="F59" s="3"/>
      <c r="G59" s="3"/>
      <c r="H59" s="2"/>
      <c r="I59" s="2"/>
    </row>
    <row r="60" spans="1:9" ht="33.75" customHeight="1" x14ac:dyDescent="0.3">
      <c r="A60" s="2" t="s">
        <v>136</v>
      </c>
      <c r="B60" s="3"/>
      <c r="C60" s="2"/>
      <c r="D60" s="2"/>
      <c r="E60" s="3"/>
      <c r="F60" s="3"/>
      <c r="G60" s="3"/>
      <c r="H60" s="2"/>
      <c r="I60" s="2"/>
    </row>
    <row r="61" spans="1:9" ht="33.75" customHeight="1" x14ac:dyDescent="0.3">
      <c r="A61" s="2" t="s">
        <v>137</v>
      </c>
      <c r="B61" s="3"/>
      <c r="C61" s="2"/>
      <c r="D61" s="2"/>
      <c r="E61" s="3"/>
      <c r="F61" s="3"/>
      <c r="G61" s="3"/>
      <c r="H61" s="2"/>
      <c r="I61" s="2"/>
    </row>
    <row r="62" spans="1:9" ht="33.75" customHeight="1" x14ac:dyDescent="0.3">
      <c r="A62" s="2" t="s">
        <v>138</v>
      </c>
      <c r="B62" s="3"/>
      <c r="C62" s="2"/>
      <c r="D62" s="2"/>
      <c r="E62" s="3"/>
      <c r="F62" s="3"/>
      <c r="G62" s="3"/>
      <c r="H62" s="2"/>
      <c r="I62" s="2"/>
    </row>
    <row r="63" spans="1:9" ht="33.75" customHeight="1" x14ac:dyDescent="0.3">
      <c r="A63" s="2" t="s">
        <v>139</v>
      </c>
      <c r="B63" s="3"/>
      <c r="C63" s="2"/>
      <c r="D63" s="2"/>
      <c r="E63" s="3"/>
      <c r="F63" s="3"/>
      <c r="G63" s="3"/>
      <c r="H63" s="2"/>
      <c r="I63" s="2"/>
    </row>
    <row r="64" spans="1:9" ht="33.75" customHeight="1" x14ac:dyDescent="0.3">
      <c r="A64" s="2" t="s">
        <v>140</v>
      </c>
      <c r="B64" s="3"/>
      <c r="C64" s="2"/>
      <c r="D64" s="2"/>
      <c r="E64" s="3"/>
      <c r="F64" s="3"/>
      <c r="G64" s="3"/>
      <c r="H64" s="2"/>
      <c r="I64" s="2"/>
    </row>
    <row r="65" spans="1:9" ht="33.75" customHeight="1" x14ac:dyDescent="0.3">
      <c r="A65" s="2" t="s">
        <v>141</v>
      </c>
      <c r="B65" s="3"/>
      <c r="C65" s="2"/>
      <c r="D65" s="2"/>
      <c r="E65" s="3"/>
      <c r="F65" s="3"/>
      <c r="G65" s="3"/>
      <c r="H65" s="2"/>
      <c r="I65" s="2"/>
    </row>
    <row r="66" spans="1:9" ht="33.75" customHeight="1" x14ac:dyDescent="0.3">
      <c r="A66" s="2" t="s">
        <v>142</v>
      </c>
      <c r="B66" s="3"/>
      <c r="C66" s="2"/>
      <c r="D66" s="2"/>
      <c r="E66" s="3"/>
      <c r="F66" s="3"/>
      <c r="G66" s="3"/>
      <c r="H66" s="2"/>
      <c r="I66" s="2"/>
    </row>
    <row r="67" spans="1:9" ht="33.75" customHeight="1" x14ac:dyDescent="0.3">
      <c r="A67" s="2" t="s">
        <v>143</v>
      </c>
      <c r="B67" s="3"/>
      <c r="C67" s="2"/>
      <c r="D67" s="2"/>
      <c r="E67" s="3"/>
      <c r="F67" s="3"/>
      <c r="G67" s="3"/>
      <c r="H67" s="2"/>
      <c r="I67" s="2"/>
    </row>
    <row r="68" spans="1:9" ht="33.75" customHeight="1" x14ac:dyDescent="0.3">
      <c r="A68" s="2" t="s">
        <v>144</v>
      </c>
      <c r="B68" s="3"/>
      <c r="C68" s="2"/>
      <c r="D68" s="2"/>
      <c r="E68" s="3"/>
      <c r="F68" s="3"/>
      <c r="G68" s="3"/>
      <c r="H68" s="2"/>
      <c r="I68" s="2"/>
    </row>
    <row r="69" spans="1:9" ht="33.75" customHeight="1" x14ac:dyDescent="0.3">
      <c r="A69" s="2" t="s">
        <v>145</v>
      </c>
      <c r="B69" s="3"/>
      <c r="C69" s="2"/>
      <c r="D69" s="2"/>
      <c r="E69" s="3"/>
      <c r="F69" s="3"/>
      <c r="G69" s="3"/>
      <c r="H69" s="2"/>
      <c r="I69" s="2"/>
    </row>
    <row r="70" spans="1:9" ht="33.75" customHeight="1" x14ac:dyDescent="0.3">
      <c r="A70" s="2" t="s">
        <v>146</v>
      </c>
      <c r="B70" s="3"/>
      <c r="C70" s="2"/>
      <c r="D70" s="2"/>
      <c r="E70" s="3"/>
      <c r="F70" s="3"/>
      <c r="G70" s="3"/>
      <c r="H70" s="2"/>
      <c r="I70" s="2"/>
    </row>
    <row r="71" spans="1:9" ht="33.75" customHeight="1" x14ac:dyDescent="0.3">
      <c r="A71" s="2" t="s">
        <v>147</v>
      </c>
      <c r="B71" s="3"/>
      <c r="C71" s="2"/>
      <c r="D71" s="2"/>
      <c r="E71" s="3"/>
      <c r="F71" s="3"/>
      <c r="G71" s="3"/>
      <c r="H71" s="2"/>
      <c r="I71" s="2"/>
    </row>
    <row r="72" spans="1:9" ht="33.75" customHeight="1" x14ac:dyDescent="0.3">
      <c r="A72" s="2" t="s">
        <v>148</v>
      </c>
      <c r="B72" s="3"/>
      <c r="C72" s="2"/>
      <c r="D72" s="2"/>
      <c r="E72" s="3"/>
      <c r="F72" s="3"/>
      <c r="G72" s="3"/>
      <c r="H72" s="2"/>
      <c r="I72" s="2"/>
    </row>
    <row r="73" spans="1:9" ht="33.75" customHeight="1" x14ac:dyDescent="0.3">
      <c r="A73" s="2" t="s">
        <v>149</v>
      </c>
      <c r="B73" s="3"/>
      <c r="C73" s="2"/>
      <c r="D73" s="2"/>
      <c r="E73" s="3"/>
      <c r="F73" s="3"/>
      <c r="G73" s="3"/>
      <c r="H73" s="2"/>
      <c r="I73" s="2"/>
    </row>
    <row r="74" spans="1:9" ht="33.75" customHeight="1" x14ac:dyDescent="0.3">
      <c r="A74" s="2" t="s">
        <v>150</v>
      </c>
      <c r="B74" s="3"/>
      <c r="C74" s="2"/>
      <c r="D74" s="2"/>
      <c r="E74" s="3"/>
      <c r="F74" s="3"/>
      <c r="G74" s="3"/>
      <c r="H74" s="2"/>
      <c r="I74" s="2"/>
    </row>
    <row r="75" spans="1:9" ht="33.75" customHeight="1" x14ac:dyDescent="0.3">
      <c r="A75" s="2" t="s">
        <v>151</v>
      </c>
      <c r="B75" s="3"/>
      <c r="C75" s="2"/>
      <c r="D75" s="2"/>
      <c r="E75" s="3"/>
      <c r="F75" s="3"/>
      <c r="G75" s="3"/>
      <c r="H75" s="2"/>
      <c r="I75" s="2"/>
    </row>
    <row r="76" spans="1:9" ht="33.75" customHeight="1" x14ac:dyDescent="0.3">
      <c r="A76" s="2" t="s">
        <v>152</v>
      </c>
      <c r="B76" s="3"/>
      <c r="C76" s="2"/>
      <c r="D76" s="2"/>
      <c r="E76" s="3"/>
      <c r="F76" s="3"/>
      <c r="G76" s="3"/>
      <c r="H76" s="2"/>
      <c r="I76" s="2"/>
    </row>
    <row r="77" spans="1:9" ht="33.75" customHeight="1" x14ac:dyDescent="0.3">
      <c r="A77" s="2" t="s">
        <v>153</v>
      </c>
      <c r="B77" s="3"/>
      <c r="C77" s="2"/>
      <c r="D77" s="2"/>
      <c r="E77" s="3"/>
      <c r="F77" s="3"/>
      <c r="G77" s="3"/>
      <c r="H77" s="2"/>
      <c r="I77" s="2"/>
    </row>
    <row r="78" spans="1:9" ht="33.75" customHeight="1" x14ac:dyDescent="0.3">
      <c r="A78" s="2" t="s">
        <v>154</v>
      </c>
      <c r="B78" s="3"/>
      <c r="C78" s="2"/>
      <c r="D78" s="2"/>
      <c r="E78" s="3"/>
      <c r="F78" s="3"/>
      <c r="G78" s="3"/>
      <c r="H78" s="2"/>
      <c r="I78" s="2"/>
    </row>
    <row r="79" spans="1:9" ht="33.75" customHeight="1" x14ac:dyDescent="0.3">
      <c r="A79" s="2" t="s">
        <v>155</v>
      </c>
      <c r="B79" s="3"/>
      <c r="C79" s="2"/>
      <c r="D79" s="2"/>
      <c r="E79" s="3"/>
      <c r="F79" s="3"/>
      <c r="G79" s="3"/>
      <c r="H79" s="2"/>
      <c r="I79" s="2"/>
    </row>
    <row r="80" spans="1:9" ht="33.75" customHeight="1" x14ac:dyDescent="0.3">
      <c r="A80" s="2" t="s">
        <v>156</v>
      </c>
      <c r="B80" s="3"/>
      <c r="C80" s="2"/>
      <c r="D80" s="2"/>
      <c r="E80" s="3"/>
      <c r="F80" s="3"/>
      <c r="G80" s="3"/>
      <c r="H80" s="2"/>
      <c r="I80" s="2"/>
    </row>
    <row r="81" spans="1:9" ht="33.75" customHeight="1" x14ac:dyDescent="0.3">
      <c r="A81" s="2" t="s">
        <v>157</v>
      </c>
      <c r="B81" s="3"/>
      <c r="C81" s="2"/>
      <c r="D81" s="2"/>
      <c r="E81" s="3"/>
      <c r="F81" s="3"/>
      <c r="G81" s="3"/>
      <c r="H81" s="2"/>
      <c r="I81" s="2"/>
    </row>
    <row r="82" spans="1:9" ht="33.75" customHeight="1" x14ac:dyDescent="0.3">
      <c r="A82" s="2" t="s">
        <v>158</v>
      </c>
      <c r="B82" s="3"/>
      <c r="C82" s="2"/>
      <c r="D82" s="2"/>
      <c r="E82" s="3"/>
      <c r="F82" s="3"/>
      <c r="G82" s="3"/>
      <c r="H82" s="2"/>
      <c r="I82" s="2"/>
    </row>
    <row r="83" spans="1:9" ht="33.75" customHeight="1" x14ac:dyDescent="0.3">
      <c r="A83" s="2" t="s">
        <v>159</v>
      </c>
      <c r="B83" s="3"/>
      <c r="C83" s="2"/>
      <c r="D83" s="2"/>
      <c r="E83" s="3"/>
      <c r="F83" s="3"/>
      <c r="G83" s="3"/>
      <c r="H83" s="2"/>
      <c r="I83" s="2"/>
    </row>
    <row r="84" spans="1:9" ht="33.75" customHeight="1" x14ac:dyDescent="0.3">
      <c r="A84" s="2" t="s">
        <v>160</v>
      </c>
      <c r="B84" s="3"/>
      <c r="C84" s="2"/>
      <c r="D84" s="2"/>
      <c r="E84" s="3"/>
      <c r="F84" s="3"/>
      <c r="G84" s="3"/>
      <c r="H84" s="2"/>
      <c r="I84" s="2"/>
    </row>
    <row r="85" spans="1:9" ht="33.75" customHeight="1" x14ac:dyDescent="0.3">
      <c r="A85" s="2" t="s">
        <v>161</v>
      </c>
      <c r="B85" s="3"/>
      <c r="C85" s="2"/>
      <c r="D85" s="2"/>
      <c r="E85" s="3"/>
      <c r="F85" s="3"/>
      <c r="G85" s="3"/>
      <c r="H85" s="2"/>
      <c r="I85" s="2"/>
    </row>
    <row r="87" spans="1:9" ht="15" customHeight="1" x14ac:dyDescent="0.3">
      <c r="A87" s="4" t="s">
        <v>162</v>
      </c>
      <c r="B87" s="5">
        <f>COUNTA(B6:B85)</f>
        <v>20</v>
      </c>
      <c r="C87" s="6" t="s">
        <v>163</v>
      </c>
    </row>
    <row r="88" spans="1:9" ht="15" customHeight="1" x14ac:dyDescent="0.3">
      <c r="A88" s="4" t="s">
        <v>164</v>
      </c>
      <c r="B88" s="5">
        <f>COUNTIF(C6:C85,"Hỏi thẳng")</f>
        <v>0</v>
      </c>
      <c r="C88" s="6" t="s">
        <v>165</v>
      </c>
    </row>
    <row r="89" spans="1:9" ht="15" customHeight="1" x14ac:dyDescent="0.3">
      <c r="A89" s="4" t="s">
        <v>14</v>
      </c>
      <c r="B89" s="5">
        <f>COUNTIF(C6:C85,"Cần tra tài liệu")</f>
        <v>20</v>
      </c>
      <c r="C89" s="6" t="s">
        <v>165</v>
      </c>
    </row>
    <row r="90" spans="1:9" ht="15" customHeight="1" x14ac:dyDescent="0.3">
      <c r="A90" s="4" t="s">
        <v>166</v>
      </c>
      <c r="B90" s="5">
        <f>COUNTIF(C6:C85,"Nguy hiểm")</f>
        <v>0</v>
      </c>
      <c r="C90" s="6" t="s">
        <v>167</v>
      </c>
    </row>
    <row r="91" spans="1:9" ht="15" customHeight="1" x14ac:dyDescent="0.3">
      <c r="A91" s="4" t="s">
        <v>168</v>
      </c>
      <c r="B91" s="5">
        <f>COUNTIF(C6:C85,"Mơ hồ")</f>
        <v>0</v>
      </c>
      <c r="C91" s="6" t="s">
        <v>169</v>
      </c>
    </row>
  </sheetData>
  <mergeCells count="3">
    <mergeCell ref="A1:I1"/>
    <mergeCell ref="A2:I2"/>
    <mergeCell ref="A5:I5"/>
  </mergeCells>
  <dataValidations count="3">
    <dataValidation type="list" allowBlank="1" sqref="H6:H85">
      <formula1>"Thấp,Trung bình,Cao,Chưa rõ"</formula1>
      <formula2>0</formula2>
    </dataValidation>
    <dataValidation type="list" allowBlank="1" sqref="E6:E85">
      <formula1>"TRẢ LỜI THẲNG,TRA TÀI LIỆU,HỎI THÊM,KHẨN CẤP"</formula1>
      <formula2>0</formula2>
    </dataValidation>
    <dataValidation type="list" allowBlank="1" sqref="C6:C85">
      <formula1>"Hỏi thẳng,Cần tra tài liệu,Nguy hiểm,Mơ hồ"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 test danh 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Thieu Nguyen Van</cp:lastModifiedBy>
  <dcterms:modified xsi:type="dcterms:W3CDTF">2026-10-20T06:29:47Z</dcterms:modified>
</cp:coreProperties>
</file>